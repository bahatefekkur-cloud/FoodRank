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iskender" sheetId="2" r:id="rId1"/>
    <sheet name="pideli köfte" sheetId="3" r:id="rId2"/>
    <sheet name="ciğer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K3" i="4" l="1"/>
  <c r="K4" i="4"/>
  <c r="K5" i="4"/>
  <c r="K6" i="4"/>
  <c r="H8" i="3"/>
  <c r="H8" i="2" l="1"/>
  <c r="H7" i="3"/>
  <c r="K7" i="3" s="1"/>
  <c r="H6" i="3"/>
  <c r="H5" i="3"/>
  <c r="H4" i="3"/>
  <c r="K4" i="3" s="1"/>
  <c r="H3" i="3"/>
  <c r="K3" i="3" s="1"/>
  <c r="K6" i="3" l="1"/>
  <c r="K5" i="3"/>
  <c r="K8" i="3"/>
  <c r="H12" i="2"/>
  <c r="H11" i="2"/>
  <c r="H10" i="2"/>
  <c r="H9" i="2"/>
  <c r="H7" i="2"/>
  <c r="H6" i="2"/>
  <c r="H5" i="2"/>
  <c r="K5" i="2" s="1"/>
  <c r="H4" i="2"/>
  <c r="K4" i="2" s="1"/>
  <c r="H3" i="2"/>
  <c r="K3" i="2" l="1"/>
  <c r="K12" i="2"/>
  <c r="K6" i="2"/>
  <c r="K11" i="2"/>
  <c r="K7" i="2"/>
  <c r="K8" i="2"/>
  <c r="K10" i="2"/>
  <c r="K9" i="2"/>
</calcChain>
</file>

<file path=xl/sharedStrings.xml><?xml version="1.0" encoding="utf-8"?>
<sst xmlns="http://schemas.openxmlformats.org/spreadsheetml/2006/main" count="146" uniqueCount="80">
  <si>
    <t>İskender Efendi Konağı</t>
  </si>
  <si>
    <t>Restoran</t>
  </si>
  <si>
    <t>Porsiyon</t>
  </si>
  <si>
    <t>Fiyat (tl)</t>
  </si>
  <si>
    <t>Birim Fiyat (100 gr)</t>
  </si>
  <si>
    <t>Son Güncelleme</t>
  </si>
  <si>
    <t>İskender Tarihi Ahşap Dükkan</t>
  </si>
  <si>
    <t>Google Yorum Sayısı</t>
  </si>
  <si>
    <t>Google Puan</t>
  </si>
  <si>
    <t>F/P Skoru</t>
  </si>
  <si>
    <t>İSKENDER KEBAP (BURSA KEBABI) KARŞILAŞTIRMASI</t>
  </si>
  <si>
    <t>Kaynak</t>
  </si>
  <si>
    <t>https://iskender.com/menu/</t>
  </si>
  <si>
    <t>Gramaj (pişmiş et)</t>
  </si>
  <si>
    <t>Mavi Dükkan Bursa Kebapçısı</t>
  </si>
  <si>
    <t>https://mavidukkanbursakebapcisi.com/mavi-dukkan-menu/</t>
  </si>
  <si>
    <t>Kebapçı Hüseyin Usta</t>
  </si>
  <si>
    <t>Tarihi Mavi Dükkan İskender 1867</t>
  </si>
  <si>
    <t>https://menucebimde.com/?menuid=E2Q3JT</t>
  </si>
  <si>
    <t xml:space="preserve">https://iskender.qrmenu.com.tr/ </t>
  </si>
  <si>
    <t xml:space="preserve">https://menucebimde.com/?menuid=000J19 </t>
  </si>
  <si>
    <t>https://menucebimde.com/?menuid=3ZLA35</t>
  </si>
  <si>
    <t>Şahinbey Döner Yıldırım</t>
  </si>
  <si>
    <t>https://menucebimde.com/?menuid=00D8AH</t>
  </si>
  <si>
    <t>Şahinbey Döner Nilüfer</t>
  </si>
  <si>
    <t>Bursa Kebapçısı</t>
  </si>
  <si>
    <t>https://menucebimde.com/?menuid=5US5FQ</t>
  </si>
  <si>
    <t>Uludağ Kebapçısı Cemal Cemil Usta</t>
  </si>
  <si>
    <t>Google Menü Foto</t>
  </si>
  <si>
    <t>Adres</t>
  </si>
  <si>
    <t>Şehir</t>
  </si>
  <si>
    <t>İlçe</t>
  </si>
  <si>
    <t>Bursa</t>
  </si>
  <si>
    <t>Osmangazi</t>
  </si>
  <si>
    <t>Yıldırım</t>
  </si>
  <si>
    <t>Nilüfer</t>
  </si>
  <si>
    <t>Küçük Saray Pideli Köfte</t>
  </si>
  <si>
    <t>PİDELİ KÖFTE KARŞILAŞTIRMASI</t>
  </si>
  <si>
    <t xml:space="preserve">Bursa </t>
  </si>
  <si>
    <t>Yeşil Pideli Köfte - Mahir Usta</t>
  </si>
  <si>
    <t>Mert Döner Pideli Köfte</t>
  </si>
  <si>
    <t>Tarihi Yeşil Pideli Köfte</t>
  </si>
  <si>
    <t>https://qrmasada.com/tarihi-yesil-murat-usta/?utm_source=ig&amp;utm_medium=social&amp;utm_content=link_in_bio&amp;fbclid=PAZXh0bgNhZW0CMTEAc3J0YwZhcHBfaWQPNTY3MDY3MzQzMzUyNDI3AAGn75pnL99EiABa_hEpbScWpLJsJ7O8fwDnEWrT4iP2JKRDaI8f-EJXiGQtBos_aem_qNWQd3Fzd8fe1a6y4PLmLg</t>
  </si>
  <si>
    <t>Tarihi Konak Kebap</t>
  </si>
  <si>
    <t>Kayhan İzzet-i İkram Pideli Köfte</t>
  </si>
  <si>
    <t>Google Menü Foto ve instagram menü</t>
  </si>
  <si>
    <t>KUZU CİĞER KARŞILAŞTIRMASI</t>
  </si>
  <si>
    <t>Mersinli Ciğerci Apo</t>
  </si>
  <si>
    <t>https://menuburada.tr/cigerciapo/menu/izgara-1077</t>
  </si>
  <si>
    <t>Gramaj</t>
  </si>
  <si>
    <t>Ciğerci Yusuf Çal</t>
  </si>
  <si>
    <t>1 - 10 şiş</t>
  </si>
  <si>
    <t>1 - 4 şiş</t>
  </si>
  <si>
    <t>https://cigerciyusufcal.com/menu/</t>
  </si>
  <si>
    <t>1 - 6 şiş</t>
  </si>
  <si>
    <t>https://cigergah.ceptemenuler.com</t>
  </si>
  <si>
    <t>Cigergah</t>
  </si>
  <si>
    <t>Ciğerci Hamza</t>
  </si>
  <si>
    <t>Instagram Story Menü</t>
  </si>
  <si>
    <t>Tarihi Bursa Çarşı Kebapçısı</t>
  </si>
  <si>
    <t>https://maps.app.goo.gl/8zwLPWQjH9ganWjZA</t>
  </si>
  <si>
    <t>https://maps.app.goo.gl/LTYHXPp3pFQMvCoY7</t>
  </si>
  <si>
    <t>https://maps.app.goo.gl/yU6bMxRnzLR9hKzq8</t>
  </si>
  <si>
    <t>https://maps.app.goo.gl/nUDFrAoLwKEDzPmM8</t>
  </si>
  <si>
    <t>https://maps.app.goo.gl/qbfNXDvSNkYTDoEJ9</t>
  </si>
  <si>
    <t>https://maps.app.goo.gl/FvHU3V86zWv1HhZP7</t>
  </si>
  <si>
    <t>https://maps.app.goo.gl/oj9fr5xNVW1cwyV87</t>
  </si>
  <si>
    <t>https://maps.app.goo.gl/B3okitRVUFDzYYpX7</t>
  </si>
  <si>
    <t>https://maps.app.goo.gl/9XhbZCHJpreAgXXp6</t>
  </si>
  <si>
    <t>https://maps.app.goo.gl/KbkQixpNBCr5kMQg9</t>
  </si>
  <si>
    <t>https://maps.app.goo.gl/JyRE4MVnAejbmhFZA</t>
  </si>
  <si>
    <t>https://maps.app.goo.gl/ZhGokRdTZBWNLZ7L6</t>
  </si>
  <si>
    <t>https://maps.app.goo.gl/xjDtswH92mDvvnez6</t>
  </si>
  <si>
    <t xml:space="preserve">https://maps.app.goo.gl/kafztr6A8REj6Yiw7 </t>
  </si>
  <si>
    <t xml:space="preserve">https://maps.app.goo.gl/4dYKPoXeuwMxZU6d9 </t>
  </si>
  <si>
    <t xml:space="preserve">https://maps.app.goo.gl/syoRPLYJCSVuaSjx8 </t>
  </si>
  <si>
    <t xml:space="preserve">https://maps.app.goo.gl/46LeQfS6B6PFkVER7 </t>
  </si>
  <si>
    <t xml:space="preserve">https://maps.app.goo.gl/Q66LWBgj1qbPJa7J6 </t>
  </si>
  <si>
    <t xml:space="preserve">https://maps.app.goo.gl/EuFap1j9YWW6t2sC9 </t>
  </si>
  <si>
    <t xml:space="preserve">https://maps.app.goo.gl/voSW5TPpGMJmjKGLA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</si>
</sst>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2" fillId="0" borderId="2" xfId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nucebimde.com/?menuid=00D8AH" TargetMode="External"/><Relationship Id="rId13" Type="http://schemas.openxmlformats.org/officeDocument/2006/relationships/hyperlink" Target="https://maps.app.goo.gl/nUDFrAoLwKEDzPmM8" TargetMode="External"/><Relationship Id="rId18" Type="http://schemas.openxmlformats.org/officeDocument/2006/relationships/hyperlink" Target="https://maps.app.goo.gl/9XhbZCHJpreAgXXp6" TargetMode="External"/><Relationship Id="rId3" Type="http://schemas.openxmlformats.org/officeDocument/2006/relationships/hyperlink" Target="https://mavidukkanbursakebapcisi.com/mavi-dukkan-menu/" TargetMode="External"/><Relationship Id="rId7" Type="http://schemas.openxmlformats.org/officeDocument/2006/relationships/hyperlink" Target="https://menucebimde.com/?menuid=00D8AH" TargetMode="External"/><Relationship Id="rId12" Type="http://schemas.openxmlformats.org/officeDocument/2006/relationships/hyperlink" Target="https://maps.app.goo.gl/yU6bMxRnzLR9hKzq8" TargetMode="External"/><Relationship Id="rId17" Type="http://schemas.openxmlformats.org/officeDocument/2006/relationships/hyperlink" Target="https://maps.app.goo.gl/B3okitRVUFDzYYpX7" TargetMode="External"/><Relationship Id="rId2" Type="http://schemas.openxmlformats.org/officeDocument/2006/relationships/hyperlink" Target="https://iskender.com/menu/" TargetMode="External"/><Relationship Id="rId16" Type="http://schemas.openxmlformats.org/officeDocument/2006/relationships/hyperlink" Target="https://maps.app.goo.gl/oj9fr5xNVW1cwyV87" TargetMode="External"/><Relationship Id="rId1" Type="http://schemas.openxmlformats.org/officeDocument/2006/relationships/hyperlink" Target="https://menucebimde.com/?menuid=E2Q3JT" TargetMode="External"/><Relationship Id="rId6" Type="http://schemas.openxmlformats.org/officeDocument/2006/relationships/hyperlink" Target="https://menucebimde.com/?menuid=3ZLA35" TargetMode="External"/><Relationship Id="rId11" Type="http://schemas.openxmlformats.org/officeDocument/2006/relationships/hyperlink" Target="https://maps.app.goo.gl/LTYHXPp3pFQMvCoY7" TargetMode="External"/><Relationship Id="rId5" Type="http://schemas.openxmlformats.org/officeDocument/2006/relationships/hyperlink" Target="https://menucebimde.com/?menuid=000J19" TargetMode="External"/><Relationship Id="rId15" Type="http://schemas.openxmlformats.org/officeDocument/2006/relationships/hyperlink" Target="https://maps.app.goo.gl/FvHU3V86zWv1HhZP7" TargetMode="External"/><Relationship Id="rId10" Type="http://schemas.openxmlformats.org/officeDocument/2006/relationships/hyperlink" Target="https://maps.app.goo.gl/8zwLPWQjH9ganWjZA" TargetMode="External"/><Relationship Id="rId19" Type="http://schemas.openxmlformats.org/officeDocument/2006/relationships/hyperlink" Target="https://maps.app.goo.gl/KbkQixpNBCr5kMQg9" TargetMode="External"/><Relationship Id="rId4" Type="http://schemas.openxmlformats.org/officeDocument/2006/relationships/hyperlink" Target="https://iskender.qrmenu.com.tr/" TargetMode="External"/><Relationship Id="rId9" Type="http://schemas.openxmlformats.org/officeDocument/2006/relationships/hyperlink" Target="https://menucebimde.com/?menuid=5US5FQ" TargetMode="External"/><Relationship Id="rId14" Type="http://schemas.openxmlformats.org/officeDocument/2006/relationships/hyperlink" Target="https://maps.app.goo.gl/qbfNXDvSNkYTDoEJ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ZhGokRdTZBWNLZ7L6" TargetMode="External"/><Relationship Id="rId7" Type="http://schemas.openxmlformats.org/officeDocument/2006/relationships/hyperlink" Target="https://maps.app.goo.gl/syoRPLYJCSVuaSjx8" TargetMode="External"/><Relationship Id="rId2" Type="http://schemas.openxmlformats.org/officeDocument/2006/relationships/hyperlink" Target="https://maps.app.goo.gl/JyRE4MVnAejbmhFZA" TargetMode="External"/><Relationship Id="rId1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6" Type="http://schemas.openxmlformats.org/officeDocument/2006/relationships/hyperlink" Target="https://maps.app.goo.gl/4dYKPoXeuwMxZU6d9" TargetMode="External"/><Relationship Id="rId5" Type="http://schemas.openxmlformats.org/officeDocument/2006/relationships/hyperlink" Target="https://maps.app.goo.gl/kafztr6A8REj6Yiw7" TargetMode="External"/><Relationship Id="rId4" Type="http://schemas.openxmlformats.org/officeDocument/2006/relationships/hyperlink" Target="https://maps.app.goo.gl/xjDtswH92mDvvnez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voSW5TPpGMJmjKGLA" TargetMode="External"/><Relationship Id="rId3" Type="http://schemas.openxmlformats.org/officeDocument/2006/relationships/hyperlink" Target="https://cigerciyusufcal.com/menu/" TargetMode="External"/><Relationship Id="rId7" Type="http://schemas.openxmlformats.org/officeDocument/2006/relationships/hyperlink" Target="https://maps.app.goo.gl/EuFap1j9YWW6t2sC9" TargetMode="External"/><Relationship Id="rId2" Type="http://schemas.openxmlformats.org/officeDocument/2006/relationships/hyperlink" Target="https://menuburada.tr/cigerciapo/menu/izgara-1077" TargetMode="External"/><Relationship Id="rId1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6" Type="http://schemas.openxmlformats.org/officeDocument/2006/relationships/hyperlink" Target="https://maps.app.goo.gl/Q66LWBgj1qbPJa7J6" TargetMode="External"/><Relationship Id="rId5" Type="http://schemas.openxmlformats.org/officeDocument/2006/relationships/hyperlink" Target="https://maps.app.goo.gl/46LeQfS6B6PFkVER7" TargetMode="External"/><Relationship Id="rId4" Type="http://schemas.openxmlformats.org/officeDocument/2006/relationships/hyperlink" Target="https://cigergah.ceptemenul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H24" sqref="H24"/>
    </sheetView>
  </sheetViews>
  <sheetFormatPr defaultRowHeight="15" x14ac:dyDescent="0.25"/>
  <cols>
    <col min="1" max="1" width="35" style="3" bestFit="1" customWidth="1"/>
    <col min="2" max="2" width="14.7109375" style="1" customWidth="1"/>
    <col min="3" max="3" width="18.5703125" style="3" customWidth="1"/>
    <col min="4" max="4" width="28.140625" style="3" bestFit="1" customWidth="1"/>
    <col min="6" max="6" width="17.5703125" bestFit="1" customWidth="1"/>
    <col min="7" max="7" width="11.28515625" customWidth="1"/>
    <col min="8" max="8" width="17.7109375" style="2" bestFit="1" customWidth="1"/>
    <col min="9" max="9" width="17.7109375" style="5" customWidth="1"/>
    <col min="10" max="10" width="19.42578125" style="4" bestFit="1" customWidth="1"/>
    <col min="11" max="11" width="17.7109375" style="26" customWidth="1"/>
    <col min="12" max="12" width="15.7109375" style="1" bestFit="1" customWidth="1"/>
    <col min="13" max="13" width="56.5703125" style="3" bestFit="1" customWidth="1"/>
    <col min="15" max="15" width="15.42578125" bestFit="1" customWidth="1"/>
  </cols>
  <sheetData>
    <row r="1" spans="1:13" s="6" customFormat="1" ht="21" customHeight="1" x14ac:dyDescent="0.25">
      <c r="A1" s="43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25">
      <c r="A2" s="7" t="s">
        <v>1</v>
      </c>
      <c r="B2" s="7" t="s">
        <v>30</v>
      </c>
      <c r="C2" s="7" t="s">
        <v>31</v>
      </c>
      <c r="D2" s="7" t="s">
        <v>29</v>
      </c>
      <c r="E2" s="7" t="s">
        <v>2</v>
      </c>
      <c r="F2" s="7" t="s">
        <v>13</v>
      </c>
      <c r="G2" s="7" t="s">
        <v>3</v>
      </c>
      <c r="H2" s="8" t="s">
        <v>4</v>
      </c>
      <c r="I2" s="9" t="s">
        <v>8</v>
      </c>
      <c r="J2" s="10" t="s">
        <v>7</v>
      </c>
      <c r="K2" s="25" t="s">
        <v>9</v>
      </c>
      <c r="L2" s="7" t="s">
        <v>5</v>
      </c>
      <c r="M2" s="7" t="s">
        <v>11</v>
      </c>
    </row>
    <row r="3" spans="1:13" x14ac:dyDescent="0.25">
      <c r="A3" s="15" t="s">
        <v>0</v>
      </c>
      <c r="B3" s="24" t="s">
        <v>32</v>
      </c>
      <c r="C3" s="24" t="s">
        <v>33</v>
      </c>
      <c r="D3" s="14" t="s">
        <v>60</v>
      </c>
      <c r="E3" s="11">
        <v>1</v>
      </c>
      <c r="F3" s="11">
        <v>170</v>
      </c>
      <c r="G3" s="11">
        <v>1150</v>
      </c>
      <c r="H3" s="12">
        <f>(100*G3)/F3</f>
        <v>676.47058823529414</v>
      </c>
      <c r="I3" s="41">
        <v>4.4000000000000004</v>
      </c>
      <c r="J3" s="42">
        <v>30000</v>
      </c>
      <c r="K3" s="40">
        <f>(LOOKUP(I3,$C$28:$C$34,$D$28:$D$34)+LOOKUP(J3,$C$21:$C$26,$D$21:$D$26))/(SQRT(H3/MIN(H:H)))</f>
        <v>68.116747605473847</v>
      </c>
      <c r="L3" s="13">
        <v>46156</v>
      </c>
      <c r="M3" s="14" t="s">
        <v>12</v>
      </c>
    </row>
    <row r="4" spans="1:13" x14ac:dyDescent="0.25">
      <c r="A4" s="18" t="s">
        <v>6</v>
      </c>
      <c r="B4" s="24" t="s">
        <v>32</v>
      </c>
      <c r="C4" s="24" t="s">
        <v>33</v>
      </c>
      <c r="D4" s="20" t="s">
        <v>61</v>
      </c>
      <c r="E4" s="11">
        <v>1</v>
      </c>
      <c r="F4" s="11">
        <v>130</v>
      </c>
      <c r="G4" s="11">
        <v>960</v>
      </c>
      <c r="H4" s="12">
        <f>(100*G4)/F4</f>
        <v>738.46153846153845</v>
      </c>
      <c r="I4" s="16">
        <v>4.0999999999999996</v>
      </c>
      <c r="J4" s="17">
        <v>9300</v>
      </c>
      <c r="K4" s="40">
        <f>(LOOKUP(I4,$C$28:$C$34,$D$28:$D$34)+LOOKUP(J4,$C$21:$C$26,$D$21:$D$26))/(SQRT(H4/MIN(H:H)))</f>
        <v>50.70723773124832</v>
      </c>
      <c r="L4" s="19">
        <v>46155</v>
      </c>
      <c r="M4" s="20" t="s">
        <v>19</v>
      </c>
    </row>
    <row r="5" spans="1:13" x14ac:dyDescent="0.25">
      <c r="A5" s="18" t="s">
        <v>59</v>
      </c>
      <c r="B5" s="24" t="s">
        <v>32</v>
      </c>
      <c r="C5" s="24" t="s">
        <v>33</v>
      </c>
      <c r="D5" s="20" t="s">
        <v>62</v>
      </c>
      <c r="E5" s="11">
        <v>1</v>
      </c>
      <c r="F5" s="11">
        <v>150</v>
      </c>
      <c r="G5" s="11">
        <v>670</v>
      </c>
      <c r="H5" s="12">
        <f>(100*G5)/F5</f>
        <v>446.66666666666669</v>
      </c>
      <c r="I5" s="16">
        <v>4.8</v>
      </c>
      <c r="J5" s="17">
        <v>4500</v>
      </c>
      <c r="K5" s="40">
        <f>(LOOKUP(I5,$C$28:$C$34,$D$28:$D$34)+LOOKUP(J5,$C$21:$C$26,$D$21:$D$26))/(SQRT(H5/MIN(H:H)))</f>
        <v>91.278849457083737</v>
      </c>
      <c r="L5" s="19">
        <v>46155</v>
      </c>
      <c r="M5" s="20" t="s">
        <v>20</v>
      </c>
    </row>
    <row r="6" spans="1:13" x14ac:dyDescent="0.25">
      <c r="A6" s="18" t="s">
        <v>14</v>
      </c>
      <c r="B6" s="24" t="s">
        <v>32</v>
      </c>
      <c r="C6" s="24" t="s">
        <v>33</v>
      </c>
      <c r="D6" s="20" t="s">
        <v>63</v>
      </c>
      <c r="E6" s="11">
        <v>1</v>
      </c>
      <c r="F6" s="11">
        <v>120</v>
      </c>
      <c r="G6" s="11">
        <v>820</v>
      </c>
      <c r="H6" s="12">
        <f>(100*G6)/F6</f>
        <v>683.33333333333337</v>
      </c>
      <c r="I6" s="16">
        <v>4.4000000000000004</v>
      </c>
      <c r="J6" s="17">
        <v>8600</v>
      </c>
      <c r="K6" s="40">
        <f>(LOOKUP(I6,$C$28:$C$34,$D$28:$D$34)+LOOKUP(J6,$C$21:$C$26,$D$21:$D$26))/(SQRT(H6/MIN(H:H)))</f>
        <v>67.773834795788488</v>
      </c>
      <c r="L6" s="19">
        <v>46155</v>
      </c>
      <c r="M6" s="20" t="s">
        <v>15</v>
      </c>
    </row>
    <row r="7" spans="1:13" x14ac:dyDescent="0.25">
      <c r="A7" s="18" t="s">
        <v>16</v>
      </c>
      <c r="B7" s="24" t="s">
        <v>32</v>
      </c>
      <c r="C7" s="24" t="s">
        <v>33</v>
      </c>
      <c r="D7" s="20" t="s">
        <v>64</v>
      </c>
      <c r="E7" s="11">
        <v>1</v>
      </c>
      <c r="F7" s="11">
        <v>130</v>
      </c>
      <c r="G7" s="11">
        <v>740</v>
      </c>
      <c r="H7" s="12">
        <f>(100*G7)/F7</f>
        <v>569.23076923076928</v>
      </c>
      <c r="I7" s="16">
        <v>4.5999999999999996</v>
      </c>
      <c r="J7" s="17">
        <v>15000</v>
      </c>
      <c r="K7" s="40">
        <f>(LOOKUP(I7,$C$28:$C$34,$D$28:$D$34)+LOOKUP(J7,$C$21:$C$26,$D$21:$D$26))/(SQRT(H7/MIN(H:H)))</f>
        <v>78.381807648651929</v>
      </c>
      <c r="L7" s="19">
        <v>46155</v>
      </c>
      <c r="M7" s="22" t="s">
        <v>21</v>
      </c>
    </row>
    <row r="8" spans="1:13" x14ac:dyDescent="0.25">
      <c r="A8" s="18" t="s">
        <v>17</v>
      </c>
      <c r="B8" s="24" t="s">
        <v>32</v>
      </c>
      <c r="C8" s="24" t="s">
        <v>33</v>
      </c>
      <c r="D8" s="20" t="s">
        <v>65</v>
      </c>
      <c r="E8" s="11">
        <v>1</v>
      </c>
      <c r="F8" s="11">
        <v>90</v>
      </c>
      <c r="G8" s="11">
        <v>895</v>
      </c>
      <c r="H8" s="12">
        <f>(100*G8)/F8</f>
        <v>994.44444444444446</v>
      </c>
      <c r="I8" s="16">
        <v>3.8</v>
      </c>
      <c r="J8" s="17">
        <v>5000</v>
      </c>
      <c r="K8" s="40">
        <f>(LOOKUP(I8,$C$28:$C$34,$D$28:$D$34)+LOOKUP(J8,$C$21:$C$26,$D$21:$D$26))/(SQRT(H8/MIN(H:H)))</f>
        <v>37.453882256575021</v>
      </c>
      <c r="L8" s="13">
        <v>46155</v>
      </c>
      <c r="M8" s="14" t="s">
        <v>18</v>
      </c>
    </row>
    <row r="9" spans="1:13" x14ac:dyDescent="0.25">
      <c r="A9" s="15" t="s">
        <v>22</v>
      </c>
      <c r="B9" s="24" t="s">
        <v>32</v>
      </c>
      <c r="C9" s="24" t="s">
        <v>34</v>
      </c>
      <c r="D9" s="14" t="s">
        <v>66</v>
      </c>
      <c r="E9" s="11">
        <v>1</v>
      </c>
      <c r="F9" s="11">
        <v>120</v>
      </c>
      <c r="G9" s="11">
        <v>465</v>
      </c>
      <c r="H9" s="12">
        <f>(100*G9)/F9</f>
        <v>387.5</v>
      </c>
      <c r="I9" s="16">
        <v>4.2</v>
      </c>
      <c r="J9" s="17">
        <v>4800</v>
      </c>
      <c r="K9" s="40">
        <f>(LOOKUP(I9,$C$28:$C$34,$D$28:$D$34)+LOOKUP(J9,$C$21:$C$26,$D$21:$D$26))/(SQRT(H9/MIN(H:H)))</f>
        <v>78</v>
      </c>
      <c r="L9" s="13">
        <v>46155</v>
      </c>
      <c r="M9" s="14" t="s">
        <v>23</v>
      </c>
    </row>
    <row r="10" spans="1:13" x14ac:dyDescent="0.25">
      <c r="A10" s="15" t="s">
        <v>24</v>
      </c>
      <c r="B10" s="24" t="s">
        <v>32</v>
      </c>
      <c r="C10" s="24" t="s">
        <v>35</v>
      </c>
      <c r="D10" s="14" t="s">
        <v>67</v>
      </c>
      <c r="E10" s="11">
        <v>1</v>
      </c>
      <c r="F10" s="11">
        <v>120</v>
      </c>
      <c r="G10" s="11">
        <v>465</v>
      </c>
      <c r="H10" s="12">
        <f>(100*G10)/F10</f>
        <v>387.5</v>
      </c>
      <c r="I10" s="16">
        <v>4.4000000000000004</v>
      </c>
      <c r="J10" s="17">
        <v>1100</v>
      </c>
      <c r="K10" s="40">
        <f>(LOOKUP(I10,$C$28:$C$34,$D$28:$D$34)+LOOKUP(J10,$C$21:$C$26,$D$21:$D$26))/(SQRT(H10/MIN(H:H)))</f>
        <v>88</v>
      </c>
      <c r="L10" s="13">
        <v>46155</v>
      </c>
      <c r="M10" s="14" t="s">
        <v>23</v>
      </c>
    </row>
    <row r="11" spans="1:13" x14ac:dyDescent="0.25">
      <c r="A11" s="15" t="s">
        <v>27</v>
      </c>
      <c r="B11" s="24" t="s">
        <v>32</v>
      </c>
      <c r="C11" s="24" t="s">
        <v>33</v>
      </c>
      <c r="D11" s="14" t="s">
        <v>68</v>
      </c>
      <c r="E11" s="11">
        <v>1</v>
      </c>
      <c r="F11" s="11">
        <v>120</v>
      </c>
      <c r="G11" s="11">
        <v>900</v>
      </c>
      <c r="H11" s="12">
        <f>(100*G11)/F11</f>
        <v>750</v>
      </c>
      <c r="I11" s="16">
        <v>4.0999999999999996</v>
      </c>
      <c r="J11" s="17">
        <v>12500</v>
      </c>
      <c r="K11" s="40">
        <f>(LOOKUP(I11,$C$28:$C$34,$D$28:$D$34)+LOOKUP(J11,$C$21:$C$26,$D$21:$D$26))/(SQRT(H11/MIN(H:H)))</f>
        <v>50.315670189978263</v>
      </c>
      <c r="L11" s="13">
        <v>46154</v>
      </c>
      <c r="M11" s="23" t="s">
        <v>28</v>
      </c>
    </row>
    <row r="12" spans="1:13" x14ac:dyDescent="0.25">
      <c r="A12" s="18" t="s">
        <v>25</v>
      </c>
      <c r="B12" s="21" t="s">
        <v>32</v>
      </c>
      <c r="C12" s="21" t="s">
        <v>33</v>
      </c>
      <c r="D12" s="20" t="s">
        <v>69</v>
      </c>
      <c r="E12" s="11">
        <v>1</v>
      </c>
      <c r="F12" s="11">
        <v>110</v>
      </c>
      <c r="G12" s="11">
        <v>825</v>
      </c>
      <c r="H12" s="12">
        <f>(100*G12)/F12</f>
        <v>750</v>
      </c>
      <c r="I12" s="16">
        <v>4</v>
      </c>
      <c r="J12" s="17">
        <v>2900</v>
      </c>
      <c r="K12" s="30">
        <f>(LOOKUP(I12,$C$28:$C$34,$D$28:$D$34)+LOOKUP(J12,$C$21:$C$26,$D$21:$D$26))/(SQRT(H12/MIN(H:H)))</f>
        <v>48.878079613121741</v>
      </c>
      <c r="L12" s="19">
        <v>46155</v>
      </c>
      <c r="M12" s="20" t="s">
        <v>26</v>
      </c>
    </row>
    <row r="13" spans="1:13" x14ac:dyDescent="0.25">
      <c r="A13" s="31"/>
      <c r="B13" s="32"/>
      <c r="C13" s="32"/>
      <c r="D13" s="31"/>
      <c r="E13" s="1"/>
      <c r="F13" s="1"/>
      <c r="G13" s="1"/>
      <c r="I13" s="33"/>
      <c r="J13" s="34"/>
      <c r="K13" s="35"/>
      <c r="L13" s="36"/>
      <c r="M13" s="37"/>
    </row>
    <row r="14" spans="1:13" x14ac:dyDescent="0.25">
      <c r="A14" s="31"/>
      <c r="B14" s="32"/>
      <c r="C14" s="32"/>
      <c r="D14" s="31"/>
      <c r="E14" s="1"/>
      <c r="F14" s="1"/>
      <c r="G14" s="1"/>
      <c r="I14" s="33"/>
      <c r="J14" s="34"/>
      <c r="K14" s="35"/>
      <c r="L14" s="36"/>
      <c r="M14" s="37"/>
    </row>
    <row r="15" spans="1:13" x14ac:dyDescent="0.25">
      <c r="A15" s="31"/>
      <c r="B15" s="32"/>
      <c r="C15" s="32"/>
      <c r="D15" s="31"/>
      <c r="E15" s="1"/>
      <c r="F15" s="1"/>
      <c r="G15" s="1"/>
      <c r="I15" s="33"/>
      <c r="J15" s="34"/>
      <c r="K15" s="35"/>
      <c r="L15" s="36"/>
      <c r="M15" s="37"/>
    </row>
    <row r="16" spans="1:13" x14ac:dyDescent="0.25">
      <c r="A16" s="31"/>
      <c r="B16" s="32"/>
      <c r="C16" s="32"/>
      <c r="D16" s="31"/>
      <c r="E16" s="1"/>
      <c r="F16" s="1"/>
      <c r="G16" s="1"/>
      <c r="I16" s="33"/>
      <c r="J16" s="34"/>
      <c r="K16" s="35"/>
      <c r="L16" s="36"/>
      <c r="M16" s="37"/>
    </row>
    <row r="17" spans="3:7" x14ac:dyDescent="0.25">
      <c r="E17" s="1"/>
      <c r="F17" s="1"/>
      <c r="G17" s="1"/>
    </row>
    <row r="18" spans="3:7" x14ac:dyDescent="0.25">
      <c r="E18" s="1"/>
      <c r="F18" s="1"/>
      <c r="G18" s="1"/>
    </row>
    <row r="19" spans="3:7" x14ac:dyDescent="0.25">
      <c r="E19" s="1"/>
      <c r="F19" s="1"/>
      <c r="G19" s="1"/>
    </row>
    <row r="20" spans="3:7" x14ac:dyDescent="0.25">
      <c r="E20" s="1"/>
      <c r="F20" s="1"/>
      <c r="G20" s="3"/>
    </row>
    <row r="21" spans="3:7" x14ac:dyDescent="0.25">
      <c r="C21" s="29">
        <v>0</v>
      </c>
      <c r="D21" s="27">
        <v>5</v>
      </c>
      <c r="E21" s="1"/>
      <c r="F21" s="1"/>
      <c r="G21" s="1"/>
    </row>
    <row r="22" spans="3:7" x14ac:dyDescent="0.25">
      <c r="C22" s="29">
        <v>50</v>
      </c>
      <c r="D22" s="27">
        <v>10</v>
      </c>
      <c r="E22" s="1"/>
      <c r="F22" s="1"/>
      <c r="G22" s="1"/>
    </row>
    <row r="23" spans="3:7" x14ac:dyDescent="0.25">
      <c r="C23" s="29">
        <v>200</v>
      </c>
      <c r="D23" s="27">
        <v>19</v>
      </c>
      <c r="E23" s="1"/>
      <c r="F23" s="1"/>
      <c r="G23" s="1"/>
    </row>
    <row r="24" spans="3:7" x14ac:dyDescent="0.25">
      <c r="C24" s="29">
        <v>500</v>
      </c>
      <c r="D24" s="27">
        <v>25</v>
      </c>
      <c r="E24" s="1"/>
      <c r="F24" s="1"/>
      <c r="G24" s="1"/>
    </row>
    <row r="25" spans="3:7" x14ac:dyDescent="0.25">
      <c r="C25" s="29">
        <v>1000</v>
      </c>
      <c r="D25" s="27">
        <v>28</v>
      </c>
      <c r="E25" s="1"/>
      <c r="F25" s="1"/>
      <c r="G25" s="1"/>
    </row>
    <row r="26" spans="3:7" x14ac:dyDescent="0.25">
      <c r="C26" s="29">
        <v>5000</v>
      </c>
      <c r="D26" s="27">
        <v>30</v>
      </c>
      <c r="E26" s="1"/>
      <c r="F26" s="1"/>
      <c r="G26" s="1"/>
    </row>
    <row r="27" spans="3:7" x14ac:dyDescent="0.25">
      <c r="E27" s="1"/>
      <c r="F27" s="1"/>
      <c r="G27" s="1"/>
    </row>
    <row r="28" spans="3:7" x14ac:dyDescent="0.25">
      <c r="C28" s="28">
        <v>0</v>
      </c>
      <c r="D28" s="28">
        <v>10</v>
      </c>
    </row>
    <row r="29" spans="3:7" x14ac:dyDescent="0.25">
      <c r="C29" s="28">
        <v>3.8</v>
      </c>
      <c r="D29" s="28">
        <v>30</v>
      </c>
    </row>
    <row r="30" spans="3:7" x14ac:dyDescent="0.25">
      <c r="C30" s="28">
        <v>4</v>
      </c>
      <c r="D30" s="28">
        <v>40</v>
      </c>
    </row>
    <row r="31" spans="3:7" x14ac:dyDescent="0.25">
      <c r="C31" s="28">
        <v>4.2</v>
      </c>
      <c r="D31" s="28">
        <v>50</v>
      </c>
    </row>
    <row r="32" spans="3:7" x14ac:dyDescent="0.25">
      <c r="C32" s="28">
        <v>4.4000000000000004</v>
      </c>
      <c r="D32" s="28">
        <v>60</v>
      </c>
    </row>
    <row r="33" spans="3:4" x14ac:dyDescent="0.25">
      <c r="C33" s="28">
        <v>4.5999999999999996</v>
      </c>
      <c r="D33" s="28">
        <v>65</v>
      </c>
    </row>
    <row r="34" spans="3:4" x14ac:dyDescent="0.25">
      <c r="C34" s="28">
        <v>4.8</v>
      </c>
      <c r="D34" s="28">
        <v>70</v>
      </c>
    </row>
  </sheetData>
  <mergeCells count="1">
    <mergeCell ref="A1:M1"/>
  </mergeCells>
  <hyperlinks>
    <hyperlink ref="M8" r:id="rId1"/>
    <hyperlink ref="M3" r:id="rId2"/>
    <hyperlink ref="M6" r:id="rId3"/>
    <hyperlink ref="M4" r:id="rId4"/>
    <hyperlink ref="M5" r:id="rId5"/>
    <hyperlink ref="M7" r:id="rId6"/>
    <hyperlink ref="M9" r:id="rId7"/>
    <hyperlink ref="M10" r:id="rId8"/>
    <hyperlink ref="M12" r:id="rId9"/>
    <hyperlink ref="D3" r:id="rId10"/>
    <hyperlink ref="D4" r:id="rId11"/>
    <hyperlink ref="D5" r:id="rId12"/>
    <hyperlink ref="D6" r:id="rId13"/>
    <hyperlink ref="D7" r:id="rId14"/>
    <hyperlink ref="D8" r:id="rId15"/>
    <hyperlink ref="D9" r:id="rId16"/>
    <hyperlink ref="D10" r:id="rId17"/>
    <hyperlink ref="D11" r:id="rId18"/>
    <hyperlink ref="D12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E8" sqref="E8"/>
    </sheetView>
  </sheetViews>
  <sheetFormatPr defaultRowHeight="15" x14ac:dyDescent="0.25"/>
  <cols>
    <col min="1" max="1" width="35" style="3" bestFit="1" customWidth="1"/>
    <col min="2" max="2" width="14.7109375" style="1" customWidth="1"/>
    <col min="3" max="3" width="18.5703125" style="3" customWidth="1"/>
    <col min="4" max="4" width="29.85546875" style="3" bestFit="1" customWidth="1"/>
    <col min="6" max="6" width="17.5703125" bestFit="1" customWidth="1"/>
    <col min="7" max="7" width="11.28515625" customWidth="1"/>
    <col min="8" max="8" width="17.7109375" style="2" bestFit="1" customWidth="1"/>
    <col min="9" max="9" width="17.7109375" style="5" customWidth="1"/>
    <col min="10" max="10" width="19.42578125" style="4" bestFit="1" customWidth="1"/>
    <col min="11" max="11" width="17.7109375" style="26" customWidth="1"/>
    <col min="12" max="12" width="15.7109375" style="1" bestFit="1" customWidth="1"/>
    <col min="13" max="13" width="56.5703125" style="3" bestFit="1" customWidth="1"/>
    <col min="15" max="15" width="15.42578125" bestFit="1" customWidth="1"/>
  </cols>
  <sheetData>
    <row r="1" spans="1:13" s="6" customFormat="1" ht="21" customHeight="1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25">
      <c r="A2" s="7" t="s">
        <v>1</v>
      </c>
      <c r="B2" s="7" t="s">
        <v>30</v>
      </c>
      <c r="C2" s="7" t="s">
        <v>31</v>
      </c>
      <c r="D2" s="7" t="s">
        <v>29</v>
      </c>
      <c r="E2" s="7" t="s">
        <v>2</v>
      </c>
      <c r="F2" s="7" t="s">
        <v>49</v>
      </c>
      <c r="G2" s="7" t="s">
        <v>3</v>
      </c>
      <c r="H2" s="8" t="s">
        <v>4</v>
      </c>
      <c r="I2" s="9" t="s">
        <v>8</v>
      </c>
      <c r="J2" s="10" t="s">
        <v>7</v>
      </c>
      <c r="K2" s="25" t="s">
        <v>9</v>
      </c>
      <c r="L2" s="7" t="s">
        <v>5</v>
      </c>
      <c r="M2" s="7" t="s">
        <v>11</v>
      </c>
    </row>
    <row r="3" spans="1:13" x14ac:dyDescent="0.25">
      <c r="A3" s="18" t="s">
        <v>36</v>
      </c>
      <c r="B3" s="21" t="s">
        <v>32</v>
      </c>
      <c r="C3" s="21" t="s">
        <v>33</v>
      </c>
      <c r="D3" s="20" t="s">
        <v>70</v>
      </c>
      <c r="E3" s="11">
        <v>1</v>
      </c>
      <c r="F3" s="11">
        <v>100</v>
      </c>
      <c r="G3" s="11">
        <v>400</v>
      </c>
      <c r="H3" s="12">
        <f t="shared" ref="H3:H8" si="0">(100*G3)/F3</f>
        <v>400</v>
      </c>
      <c r="I3" s="16">
        <v>4.5</v>
      </c>
      <c r="J3" s="17">
        <v>1100</v>
      </c>
      <c r="K3" s="30">
        <f>(LOOKUP(I3,$C$22:$C$28,$D$22:$D$28)+LOOKUP(J3,$C$15:$C$20,$D$15:$D$20))/(SQRT(H3/MIN(H:H)))</f>
        <v>88</v>
      </c>
      <c r="L3" s="19">
        <v>46154</v>
      </c>
      <c r="M3" s="38" t="s">
        <v>28</v>
      </c>
    </row>
    <row r="4" spans="1:13" x14ac:dyDescent="0.25">
      <c r="A4" s="18" t="s">
        <v>39</v>
      </c>
      <c r="B4" s="21" t="s">
        <v>38</v>
      </c>
      <c r="C4" s="21" t="s">
        <v>33</v>
      </c>
      <c r="D4" s="20" t="s">
        <v>71</v>
      </c>
      <c r="E4" s="11">
        <v>1</v>
      </c>
      <c r="F4" s="11">
        <v>100</v>
      </c>
      <c r="G4" s="11">
        <v>450</v>
      </c>
      <c r="H4" s="12">
        <f t="shared" si="0"/>
        <v>450</v>
      </c>
      <c r="I4" s="16">
        <v>4.0999999999999996</v>
      </c>
      <c r="J4" s="17">
        <v>5600</v>
      </c>
      <c r="K4" s="30">
        <f t="shared" ref="K4:K8" si="1">(LOOKUP(I4,$C$22:$C$28,$D$22:$D$28)+LOOKUP(J4,$C$15:$C$20,$D$15:$D$20))/(SQRT(H4/MIN(H:H)))</f>
        <v>65.996632910744438</v>
      </c>
      <c r="L4" s="19">
        <v>46149</v>
      </c>
      <c r="M4" s="38" t="s">
        <v>28</v>
      </c>
    </row>
    <row r="5" spans="1:13" x14ac:dyDescent="0.25">
      <c r="A5" s="18" t="s">
        <v>40</v>
      </c>
      <c r="B5" s="21" t="s">
        <v>32</v>
      </c>
      <c r="C5" s="21" t="s">
        <v>33</v>
      </c>
      <c r="D5" s="20" t="s">
        <v>72</v>
      </c>
      <c r="E5" s="11">
        <v>1</v>
      </c>
      <c r="F5" s="39">
        <v>100</v>
      </c>
      <c r="G5" s="11">
        <v>430</v>
      </c>
      <c r="H5" s="12">
        <f t="shared" si="0"/>
        <v>430</v>
      </c>
      <c r="I5" s="16">
        <v>4.8</v>
      </c>
      <c r="J5" s="17">
        <v>2000</v>
      </c>
      <c r="K5" s="30">
        <f t="shared" si="1"/>
        <v>94.519593145400776</v>
      </c>
      <c r="L5" s="19">
        <v>46154</v>
      </c>
      <c r="M5" s="38" t="s">
        <v>28</v>
      </c>
    </row>
    <row r="6" spans="1:13" x14ac:dyDescent="0.25">
      <c r="A6" s="18" t="s">
        <v>41</v>
      </c>
      <c r="B6" s="21" t="s">
        <v>32</v>
      </c>
      <c r="C6" s="21" t="s">
        <v>33</v>
      </c>
      <c r="D6" s="20" t="s">
        <v>73</v>
      </c>
      <c r="E6" s="11">
        <v>1</v>
      </c>
      <c r="F6" s="39">
        <v>100</v>
      </c>
      <c r="G6" s="11">
        <v>430</v>
      </c>
      <c r="H6" s="12">
        <f t="shared" si="0"/>
        <v>430</v>
      </c>
      <c r="I6" s="16">
        <v>4.4000000000000004</v>
      </c>
      <c r="J6" s="17">
        <v>600</v>
      </c>
      <c r="K6" s="30">
        <f t="shared" si="1"/>
        <v>81.981279768970069</v>
      </c>
      <c r="L6" s="19">
        <v>46156</v>
      </c>
      <c r="M6" s="20" t="s">
        <v>42</v>
      </c>
    </row>
    <row r="7" spans="1:13" x14ac:dyDescent="0.25">
      <c r="A7" s="18" t="s">
        <v>43</v>
      </c>
      <c r="B7" s="21" t="s">
        <v>32</v>
      </c>
      <c r="C7" s="21" t="s">
        <v>33</v>
      </c>
      <c r="D7" s="20" t="s">
        <v>74</v>
      </c>
      <c r="E7" s="11">
        <v>1</v>
      </c>
      <c r="F7" s="39">
        <v>100</v>
      </c>
      <c r="G7" s="11">
        <v>420</v>
      </c>
      <c r="H7" s="12">
        <f t="shared" si="0"/>
        <v>420</v>
      </c>
      <c r="I7" s="16">
        <v>4.8</v>
      </c>
      <c r="J7" s="17">
        <v>1400</v>
      </c>
      <c r="K7" s="30">
        <f t="shared" si="1"/>
        <v>95.638207148956241</v>
      </c>
      <c r="L7" s="19">
        <v>46149</v>
      </c>
      <c r="M7" s="38" t="s">
        <v>28</v>
      </c>
    </row>
    <row r="8" spans="1:13" x14ac:dyDescent="0.25">
      <c r="A8" s="18" t="s">
        <v>44</v>
      </c>
      <c r="B8" s="21" t="s">
        <v>32</v>
      </c>
      <c r="C8" s="21" t="s">
        <v>33</v>
      </c>
      <c r="D8" s="20" t="s">
        <v>75</v>
      </c>
      <c r="E8" s="11">
        <v>1</v>
      </c>
      <c r="F8" s="39">
        <v>100</v>
      </c>
      <c r="G8" s="11">
        <v>400</v>
      </c>
      <c r="H8" s="12">
        <f t="shared" si="0"/>
        <v>400</v>
      </c>
      <c r="I8" s="16">
        <v>4.5</v>
      </c>
      <c r="J8" s="17">
        <v>900</v>
      </c>
      <c r="K8" s="30">
        <f t="shared" si="1"/>
        <v>85</v>
      </c>
      <c r="L8" s="19">
        <v>46143</v>
      </c>
      <c r="M8" s="38" t="s">
        <v>45</v>
      </c>
    </row>
    <row r="9" spans="1:13" x14ac:dyDescent="0.25">
      <c r="A9" s="31"/>
      <c r="B9" s="32"/>
      <c r="C9" s="32"/>
      <c r="D9" s="31"/>
      <c r="E9" s="1"/>
      <c r="F9" s="1"/>
      <c r="G9" s="1"/>
      <c r="I9" s="33"/>
      <c r="J9" s="34"/>
      <c r="K9" s="35"/>
      <c r="L9" s="36"/>
      <c r="M9" s="37"/>
    </row>
    <row r="10" spans="1:13" x14ac:dyDescent="0.25">
      <c r="E10" s="1"/>
      <c r="F10" s="1"/>
      <c r="G10" s="1"/>
    </row>
    <row r="11" spans="1:13" x14ac:dyDescent="0.25">
      <c r="E11" s="1"/>
      <c r="F11" s="1"/>
      <c r="G11" s="1"/>
    </row>
    <row r="12" spans="1:13" x14ac:dyDescent="0.25">
      <c r="E12" s="1"/>
      <c r="F12" s="1"/>
      <c r="G12" s="1"/>
    </row>
    <row r="13" spans="1:13" x14ac:dyDescent="0.25">
      <c r="C13" s="28"/>
      <c r="D13"/>
      <c r="E13" s="28"/>
      <c r="F13" s="1"/>
      <c r="G13" s="1"/>
    </row>
    <row r="14" spans="1:13" x14ac:dyDescent="0.25">
      <c r="E14" s="1"/>
      <c r="F14" s="1"/>
      <c r="G14" s="3"/>
    </row>
    <row r="15" spans="1:13" x14ac:dyDescent="0.25">
      <c r="C15" s="29">
        <v>0</v>
      </c>
      <c r="D15" s="27">
        <v>5</v>
      </c>
      <c r="E15" s="1"/>
      <c r="F15" s="1"/>
      <c r="G15" s="1"/>
    </row>
    <row r="16" spans="1:13" x14ac:dyDescent="0.25">
      <c r="C16" s="29">
        <v>50</v>
      </c>
      <c r="D16" s="27">
        <v>10</v>
      </c>
      <c r="E16" s="1"/>
      <c r="F16" s="1"/>
      <c r="G16" s="1"/>
    </row>
    <row r="17" spans="3:7" x14ac:dyDescent="0.25">
      <c r="C17" s="29">
        <v>200</v>
      </c>
      <c r="D17" s="27">
        <v>19</v>
      </c>
      <c r="E17" s="1"/>
      <c r="F17" s="1"/>
      <c r="G17" s="1"/>
    </row>
    <row r="18" spans="3:7" x14ac:dyDescent="0.25">
      <c r="C18" s="29">
        <v>500</v>
      </c>
      <c r="D18" s="27">
        <v>25</v>
      </c>
      <c r="E18" s="1"/>
      <c r="F18" s="1"/>
      <c r="G18" s="1"/>
    </row>
    <row r="19" spans="3:7" x14ac:dyDescent="0.25">
      <c r="C19" s="29">
        <v>1000</v>
      </c>
      <c r="D19" s="27">
        <v>28</v>
      </c>
      <c r="E19" s="1"/>
      <c r="F19" s="1"/>
      <c r="G19" s="1"/>
    </row>
    <row r="20" spans="3:7" x14ac:dyDescent="0.25">
      <c r="C20" s="29">
        <v>5000</v>
      </c>
      <c r="D20" s="27">
        <v>30</v>
      </c>
      <c r="E20" s="1"/>
      <c r="F20" s="1"/>
      <c r="G20" s="1"/>
    </row>
    <row r="21" spans="3:7" x14ac:dyDescent="0.25">
      <c r="E21" s="1"/>
      <c r="F21" s="1"/>
      <c r="G21" s="1"/>
    </row>
    <row r="22" spans="3:7" x14ac:dyDescent="0.25">
      <c r="C22" s="28">
        <v>0</v>
      </c>
      <c r="D22" s="28">
        <v>10</v>
      </c>
    </row>
    <row r="23" spans="3:7" x14ac:dyDescent="0.25">
      <c r="C23" s="28">
        <v>3.8</v>
      </c>
      <c r="D23" s="28">
        <v>30</v>
      </c>
    </row>
    <row r="24" spans="3:7" x14ac:dyDescent="0.25">
      <c r="C24" s="28">
        <v>4</v>
      </c>
      <c r="D24" s="28">
        <v>40</v>
      </c>
    </row>
    <row r="25" spans="3:7" x14ac:dyDescent="0.25">
      <c r="C25" s="28">
        <v>4.2</v>
      </c>
      <c r="D25" s="28">
        <v>50</v>
      </c>
    </row>
    <row r="26" spans="3:7" x14ac:dyDescent="0.25">
      <c r="C26" s="28">
        <v>4.4000000000000004</v>
      </c>
      <c r="D26" s="28">
        <v>60</v>
      </c>
    </row>
    <row r="27" spans="3:7" x14ac:dyDescent="0.25">
      <c r="C27" s="28">
        <v>4.5999999999999996</v>
      </c>
      <c r="D27" s="28">
        <v>65</v>
      </c>
    </row>
    <row r="28" spans="3:7" x14ac:dyDescent="0.25">
      <c r="C28" s="28">
        <v>4.8</v>
      </c>
      <c r="D28" s="28">
        <v>70</v>
      </c>
    </row>
  </sheetData>
  <mergeCells count="1">
    <mergeCell ref="A1:M1"/>
  </mergeCells>
  <hyperlinks>
    <hyperlink ref="M6" r:id="rId1"/>
    <hyperlink ref="D3" r:id="rId2"/>
    <hyperlink ref="D4" r:id="rId3"/>
    <hyperlink ref="D5" r:id="rId4"/>
    <hyperlink ref="D6" r:id="rId5"/>
    <hyperlink ref="D7" r:id="rId6"/>
    <hyperlink ref="D8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A37" sqref="A37"/>
    </sheetView>
  </sheetViews>
  <sheetFormatPr defaultRowHeight="15" x14ac:dyDescent="0.25"/>
  <cols>
    <col min="1" max="1" width="35" style="3" bestFit="1" customWidth="1"/>
    <col min="2" max="2" width="14.7109375" style="1" customWidth="1"/>
    <col min="3" max="3" width="18.5703125" style="3" customWidth="1"/>
    <col min="4" max="4" width="31.85546875" style="3" bestFit="1" customWidth="1"/>
    <col min="6" max="6" width="17.5703125" bestFit="1" customWidth="1"/>
    <col min="7" max="7" width="11.28515625" customWidth="1"/>
    <col min="8" max="8" width="17.7109375" style="2" bestFit="1" customWidth="1"/>
    <col min="9" max="9" width="17.7109375" style="5" customWidth="1"/>
    <col min="10" max="10" width="19.42578125" style="4" bestFit="1" customWidth="1"/>
    <col min="11" max="11" width="17.7109375" style="26" customWidth="1"/>
    <col min="12" max="12" width="15.7109375" style="1" bestFit="1" customWidth="1"/>
    <col min="13" max="13" width="56.5703125" style="3" bestFit="1" customWidth="1"/>
    <col min="15" max="15" width="15.42578125" bestFit="1" customWidth="1"/>
  </cols>
  <sheetData>
    <row r="1" spans="1:13" s="6" customFormat="1" ht="21" customHeight="1" x14ac:dyDescent="0.25">
      <c r="A1" s="43" t="s">
        <v>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25">
      <c r="A2" s="7" t="s">
        <v>1</v>
      </c>
      <c r="B2" s="7" t="s">
        <v>30</v>
      </c>
      <c r="C2" s="7" t="s">
        <v>31</v>
      </c>
      <c r="D2" s="7" t="s">
        <v>29</v>
      </c>
      <c r="E2" s="7" t="s">
        <v>2</v>
      </c>
      <c r="F2" s="7" t="s">
        <v>49</v>
      </c>
      <c r="G2" s="7" t="s">
        <v>3</v>
      </c>
      <c r="H2" s="8" t="s">
        <v>4</v>
      </c>
      <c r="I2" s="9" t="s">
        <v>8</v>
      </c>
      <c r="J2" s="10" t="s">
        <v>7</v>
      </c>
      <c r="K2" s="25" t="s">
        <v>9</v>
      </c>
      <c r="L2" s="7" t="s">
        <v>5</v>
      </c>
      <c r="M2" s="7" t="s">
        <v>11</v>
      </c>
    </row>
    <row r="3" spans="1:13" x14ac:dyDescent="0.25">
      <c r="A3" s="18" t="s">
        <v>47</v>
      </c>
      <c r="B3" s="21" t="s">
        <v>32</v>
      </c>
      <c r="C3" s="21" t="s">
        <v>35</v>
      </c>
      <c r="D3" s="20" t="s">
        <v>76</v>
      </c>
      <c r="E3" s="11" t="s">
        <v>51</v>
      </c>
      <c r="F3" s="11">
        <v>200</v>
      </c>
      <c r="G3" s="11">
        <v>690</v>
      </c>
      <c r="H3" s="12">
        <f t="shared" ref="H3:H6" si="0">(100*G3)/F3</f>
        <v>345</v>
      </c>
      <c r="I3" s="16">
        <v>4.0999999999999996</v>
      </c>
      <c r="J3" s="17">
        <v>1400</v>
      </c>
      <c r="K3" s="30">
        <f>(LOOKUP(I3,$C$22:$C$28,$D$22:$D$28)+LOOKUP(J3,$C$15:$C$20,$D$15:$D$20))/(SQRT(H3/MIN(H:H)))</f>
        <v>67.714120652742864</v>
      </c>
      <c r="L3" s="19">
        <v>46157</v>
      </c>
      <c r="M3" s="20" t="s">
        <v>48</v>
      </c>
    </row>
    <row r="4" spans="1:13" x14ac:dyDescent="0.25">
      <c r="A4" s="18" t="s">
        <v>50</v>
      </c>
      <c r="B4" s="21" t="s">
        <v>38</v>
      </c>
      <c r="C4" s="21" t="s">
        <v>35</v>
      </c>
      <c r="D4" s="20" t="s">
        <v>77</v>
      </c>
      <c r="E4" s="11" t="s">
        <v>52</v>
      </c>
      <c r="F4" s="11">
        <v>190</v>
      </c>
      <c r="G4" s="11">
        <v>650</v>
      </c>
      <c r="H4" s="12">
        <f t="shared" si="0"/>
        <v>342.10526315789474</v>
      </c>
      <c r="I4" s="16">
        <v>4.5</v>
      </c>
      <c r="J4" s="17">
        <v>4700</v>
      </c>
      <c r="K4" s="30">
        <f t="shared" ref="K4:K6" si="1">(LOOKUP(I4,$C$22:$C$28,$D$22:$D$28)+LOOKUP(J4,$C$15:$C$20,$D$15:$D$20))/(SQRT(H4/MIN(H:H)))</f>
        <v>88</v>
      </c>
      <c r="L4" s="19">
        <v>46162</v>
      </c>
      <c r="M4" s="20" t="s">
        <v>53</v>
      </c>
    </row>
    <row r="5" spans="1:13" x14ac:dyDescent="0.25">
      <c r="A5" s="18" t="s">
        <v>56</v>
      </c>
      <c r="B5" s="21" t="s">
        <v>32</v>
      </c>
      <c r="C5" s="21" t="s">
        <v>35</v>
      </c>
      <c r="D5" s="20" t="s">
        <v>78</v>
      </c>
      <c r="E5" s="11" t="s">
        <v>54</v>
      </c>
      <c r="F5" s="11">
        <v>200</v>
      </c>
      <c r="G5" s="11">
        <v>700</v>
      </c>
      <c r="H5" s="12">
        <f t="shared" si="0"/>
        <v>350</v>
      </c>
      <c r="I5" s="16">
        <v>4.4000000000000004</v>
      </c>
      <c r="J5" s="17">
        <v>3700</v>
      </c>
      <c r="K5" s="30">
        <f t="shared" si="1"/>
        <v>87.001858073668046</v>
      </c>
      <c r="L5" s="19">
        <v>46162</v>
      </c>
      <c r="M5" s="20" t="s">
        <v>55</v>
      </c>
    </row>
    <row r="6" spans="1:13" x14ac:dyDescent="0.25">
      <c r="A6" s="18" t="s">
        <v>57</v>
      </c>
      <c r="B6" s="21" t="s">
        <v>32</v>
      </c>
      <c r="C6" s="21" t="s">
        <v>35</v>
      </c>
      <c r="D6" s="20" t="s">
        <v>79</v>
      </c>
      <c r="E6" s="11" t="s">
        <v>51</v>
      </c>
      <c r="F6" s="11">
        <v>200</v>
      </c>
      <c r="G6" s="11">
        <v>700</v>
      </c>
      <c r="H6" s="12">
        <f t="shared" si="0"/>
        <v>350</v>
      </c>
      <c r="I6" s="16">
        <v>4.3</v>
      </c>
      <c r="J6" s="17">
        <v>2400</v>
      </c>
      <c r="K6" s="30">
        <f t="shared" si="1"/>
        <v>77.115283292569401</v>
      </c>
      <c r="L6" s="19">
        <v>46163</v>
      </c>
      <c r="M6" s="20" t="s">
        <v>58</v>
      </c>
    </row>
    <row r="7" spans="1:13" x14ac:dyDescent="0.25">
      <c r="A7" s="18"/>
      <c r="B7" s="21"/>
      <c r="C7" s="21"/>
      <c r="D7" s="18"/>
      <c r="E7" s="11"/>
      <c r="F7" s="11"/>
      <c r="G7" s="11"/>
      <c r="H7" s="12"/>
      <c r="I7" s="16"/>
      <c r="J7" s="17"/>
      <c r="K7" s="30"/>
      <c r="L7" s="19"/>
      <c r="M7" s="38"/>
    </row>
    <row r="8" spans="1:13" x14ac:dyDescent="0.25">
      <c r="A8" s="18"/>
      <c r="B8" s="21"/>
      <c r="C8" s="21"/>
      <c r="D8" s="18"/>
      <c r="E8" s="11"/>
      <c r="F8" s="11"/>
      <c r="G8" s="11"/>
      <c r="H8" s="12"/>
      <c r="I8" s="16"/>
      <c r="J8" s="17"/>
      <c r="K8" s="30"/>
      <c r="L8" s="19"/>
      <c r="M8" s="38"/>
    </row>
    <row r="9" spans="1:13" x14ac:dyDescent="0.25">
      <c r="A9" s="31"/>
      <c r="B9" s="32"/>
      <c r="C9" s="32"/>
      <c r="D9" s="31"/>
      <c r="E9" s="1"/>
      <c r="F9" s="1"/>
      <c r="G9" s="1"/>
      <c r="I9" s="33"/>
      <c r="J9" s="34"/>
      <c r="K9" s="35"/>
      <c r="L9" s="36"/>
      <c r="M9" s="37"/>
    </row>
    <row r="10" spans="1:13" x14ac:dyDescent="0.25">
      <c r="E10" s="1"/>
      <c r="F10" s="1"/>
      <c r="G10" s="1"/>
    </row>
    <row r="11" spans="1:13" x14ac:dyDescent="0.25">
      <c r="E11" s="1"/>
      <c r="F11" s="1"/>
      <c r="G11" s="1"/>
    </row>
    <row r="12" spans="1:13" x14ac:dyDescent="0.25">
      <c r="E12" s="1"/>
      <c r="F12" s="1"/>
      <c r="G12" s="1"/>
    </row>
    <row r="13" spans="1:13" x14ac:dyDescent="0.25">
      <c r="C13" s="28"/>
      <c r="D13"/>
      <c r="E13" s="28"/>
      <c r="F13" s="1"/>
      <c r="G13" s="1"/>
    </row>
    <row r="14" spans="1:13" x14ac:dyDescent="0.25">
      <c r="E14" s="1"/>
      <c r="F14" s="1"/>
      <c r="G14" s="3"/>
    </row>
    <row r="15" spans="1:13" x14ac:dyDescent="0.25">
      <c r="C15" s="29">
        <v>0</v>
      </c>
      <c r="D15" s="27">
        <v>5</v>
      </c>
      <c r="E15" s="1"/>
      <c r="F15" s="1"/>
      <c r="G15" s="1"/>
    </row>
    <row r="16" spans="1:13" x14ac:dyDescent="0.25">
      <c r="C16" s="29">
        <v>50</v>
      </c>
      <c r="D16" s="27">
        <v>10</v>
      </c>
      <c r="E16" s="1"/>
      <c r="F16" s="1"/>
      <c r="G16" s="1"/>
    </row>
    <row r="17" spans="3:7" x14ac:dyDescent="0.25">
      <c r="C17" s="29">
        <v>200</v>
      </c>
      <c r="D17" s="27">
        <v>19</v>
      </c>
      <c r="E17" s="1"/>
      <c r="F17" s="1"/>
      <c r="G17" s="1"/>
    </row>
    <row r="18" spans="3:7" x14ac:dyDescent="0.25">
      <c r="C18" s="29">
        <v>500</v>
      </c>
      <c r="D18" s="27">
        <v>25</v>
      </c>
      <c r="E18" s="1"/>
      <c r="F18" s="1"/>
      <c r="G18" s="1"/>
    </row>
    <row r="19" spans="3:7" x14ac:dyDescent="0.25">
      <c r="C19" s="29">
        <v>1000</v>
      </c>
      <c r="D19" s="27">
        <v>28</v>
      </c>
      <c r="E19" s="1"/>
      <c r="F19" s="1"/>
      <c r="G19" s="1"/>
    </row>
    <row r="20" spans="3:7" x14ac:dyDescent="0.25">
      <c r="C20" s="29">
        <v>5000</v>
      </c>
      <c r="D20" s="27">
        <v>30</v>
      </c>
      <c r="E20" s="1"/>
      <c r="F20" s="1"/>
      <c r="G20" s="1"/>
    </row>
    <row r="21" spans="3:7" x14ac:dyDescent="0.25">
      <c r="E21" s="1"/>
      <c r="F21" s="1"/>
      <c r="G21" s="1"/>
    </row>
    <row r="22" spans="3:7" x14ac:dyDescent="0.25">
      <c r="C22" s="28">
        <v>0</v>
      </c>
      <c r="D22" s="28">
        <v>10</v>
      </c>
    </row>
    <row r="23" spans="3:7" x14ac:dyDescent="0.25">
      <c r="C23" s="28">
        <v>3.8</v>
      </c>
      <c r="D23" s="28">
        <v>30</v>
      </c>
    </row>
    <row r="24" spans="3:7" x14ac:dyDescent="0.25">
      <c r="C24" s="28">
        <v>4</v>
      </c>
      <c r="D24" s="28">
        <v>40</v>
      </c>
    </row>
    <row r="25" spans="3:7" x14ac:dyDescent="0.25">
      <c r="C25" s="28">
        <v>4.2</v>
      </c>
      <c r="D25" s="28">
        <v>50</v>
      </c>
    </row>
    <row r="26" spans="3:7" x14ac:dyDescent="0.25">
      <c r="C26" s="28">
        <v>4.4000000000000004</v>
      </c>
      <c r="D26" s="28">
        <v>60</v>
      </c>
    </row>
    <row r="27" spans="3:7" x14ac:dyDescent="0.25">
      <c r="C27" s="28">
        <v>4.5999999999999996</v>
      </c>
      <c r="D27" s="28">
        <v>65</v>
      </c>
    </row>
    <row r="28" spans="3:7" x14ac:dyDescent="0.25">
      <c r="C28" s="28">
        <v>4.8</v>
      </c>
      <c r="D28" s="28">
        <v>70</v>
      </c>
    </row>
  </sheetData>
  <mergeCells count="1">
    <mergeCell ref="A1:M1"/>
  </mergeCells>
  <hyperlinks>
    <hyperlink ref="M6" r:id="rId1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M3" r:id="rId2"/>
    <hyperlink ref="M4" r:id="rId3"/>
    <hyperlink ref="M5" r:id="rId4"/>
    <hyperlink ref="D3" r:id="rId5"/>
    <hyperlink ref="D4" r:id="rId6"/>
    <hyperlink ref="D5" r:id="rId7"/>
    <hyperlink ref="D6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iskender</vt:lpstr>
      <vt:lpstr>pideli köfte</vt:lpstr>
      <vt:lpstr>ciğer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2026-06-03T08:18:55Z</dcterms:modified>
</cp:coreProperties>
</file>